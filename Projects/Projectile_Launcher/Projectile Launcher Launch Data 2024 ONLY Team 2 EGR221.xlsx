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e\College Stuff\ERAU\Fall 2025\MA 305\Classwork\CW7\Projects\Projectile Launcher\"/>
    </mc:Choice>
  </mc:AlternateContent>
  <xr:revisionPtr revIDLastSave="0" documentId="13_ncr:1_{8F25F838-4273-44A9-8763-B51DB749566A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Sheet1" sheetId="1" r:id="rId1"/>
  </sheet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9" i="1" l="1"/>
  <c r="O39" i="1" s="1"/>
  <c r="P39" i="1" s="1"/>
  <c r="F36" i="1"/>
  <c r="G36" i="1"/>
  <c r="H36" i="1"/>
  <c r="I36" i="1"/>
  <c r="J36" i="1"/>
  <c r="K36" i="1"/>
  <c r="M36" i="1"/>
  <c r="E36" i="1"/>
  <c r="F35" i="1"/>
  <c r="G35" i="1"/>
  <c r="H35" i="1"/>
  <c r="I35" i="1"/>
  <c r="J35" i="1"/>
  <c r="K35" i="1"/>
  <c r="M35" i="1"/>
  <c r="E35" i="1"/>
  <c r="N32" i="1"/>
  <c r="O32" i="1" s="1"/>
  <c r="P32" i="1" s="1"/>
  <c r="N31" i="1"/>
  <c r="O31" i="1" s="1"/>
  <c r="P31" i="1" s="1"/>
  <c r="N33" i="1"/>
  <c r="O33" i="1" s="1"/>
  <c r="P33" i="1" s="1"/>
  <c r="N30" i="1"/>
  <c r="O30" i="1" s="1"/>
  <c r="P30" i="1" s="1"/>
  <c r="N29" i="1"/>
  <c r="O29" i="1" s="1"/>
  <c r="P29" i="1" s="1"/>
  <c r="N28" i="1"/>
  <c r="O28" i="1" s="1"/>
  <c r="P28" i="1" s="1"/>
  <c r="N27" i="1"/>
  <c r="O27" i="1" s="1"/>
  <c r="P27" i="1" s="1"/>
  <c r="N26" i="1"/>
  <c r="O26" i="1" s="1"/>
  <c r="P26" i="1" s="1"/>
  <c r="N25" i="1"/>
  <c r="O25" i="1" s="1"/>
  <c r="P25" i="1" s="1"/>
  <c r="N24" i="1"/>
  <c r="O24" i="1" s="1"/>
  <c r="P35" i="1" l="1"/>
  <c r="O35" i="1"/>
  <c r="N35" i="1"/>
  <c r="P36" i="1"/>
  <c r="O36" i="1"/>
  <c r="N36" i="1"/>
  <c r="P24" i="1"/>
</calcChain>
</file>

<file path=xl/sharedStrings.xml><?xml version="1.0" encoding="utf-8"?>
<sst xmlns="http://schemas.openxmlformats.org/spreadsheetml/2006/main" count="46" uniqueCount="45">
  <si>
    <t>File Name</t>
  </si>
  <si>
    <t>Trigger Frame (t=0)</t>
  </si>
  <si>
    <t>Projectile Launch Frame</t>
  </si>
  <si>
    <t>Projectile Launch Time(s)</t>
  </si>
  <si>
    <t>x (m)</t>
  </si>
  <si>
    <t>y (m)</t>
  </si>
  <si>
    <t>vx (m/s)</t>
  </si>
  <si>
    <t>vy (m/s)</t>
  </si>
  <si>
    <t>v (m/s)</t>
  </si>
  <si>
    <t>Launch angle (degrees)</t>
  </si>
  <si>
    <t>Actual Range (m)</t>
  </si>
  <si>
    <t>Predicted Range (m)</t>
  </si>
  <si>
    <t>Difference</t>
  </si>
  <si>
    <t>%Diff</t>
  </si>
  <si>
    <t>Notes:</t>
  </si>
  <si>
    <t>Launch 1</t>
  </si>
  <si>
    <t>Launch 2</t>
  </si>
  <si>
    <t>Launch 3</t>
  </si>
  <si>
    <t>Launch 4</t>
  </si>
  <si>
    <t>Launch 5</t>
  </si>
  <si>
    <t>Launch 6</t>
  </si>
  <si>
    <t>Launch 7</t>
  </si>
  <si>
    <t>Launch 8</t>
  </si>
  <si>
    <t>Launch 9</t>
  </si>
  <si>
    <t>Launch 10</t>
  </si>
  <si>
    <t>Team 2:</t>
  </si>
  <si>
    <t>Malina, Clancy</t>
  </si>
  <si>
    <t>IMG_0028.MOV</t>
  </si>
  <si>
    <t>Very high angle</t>
  </si>
  <si>
    <t>IMG_0029.MOV</t>
  </si>
  <si>
    <t>Very large difference between predicted and actual - wind?</t>
  </si>
  <si>
    <t>IMG_0030.MOV</t>
  </si>
  <si>
    <t>IMG_0031.MOV</t>
  </si>
  <si>
    <t>Added a fifth elastic band - seems to have stabilized it - also began watching to wait for wind to slow down.</t>
  </si>
  <si>
    <t>IMG_0032.MOV</t>
  </si>
  <si>
    <t>IMG_0033.MOV</t>
  </si>
  <si>
    <t>IMG_0034.MOV</t>
  </si>
  <si>
    <t>IMG_0035.MOV</t>
  </si>
  <si>
    <t>IMG_0036.MOV</t>
  </si>
  <si>
    <t>IMG_0038.MOV</t>
  </si>
  <si>
    <t>Average (Launc 4-10):</t>
  </si>
  <si>
    <t>Uncertainty (Launch 4-10):</t>
  </si>
  <si>
    <t>Launch 11</t>
  </si>
  <si>
    <t>IMG_0039.MOV</t>
  </si>
  <si>
    <t>This was the extra launch with 7 elastic bands. Significant increase in velocity and range.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</si>
</sst>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11" applyNumberFormat="1" applyFont="1" applyFill="1"/>
    <xf numFmtId="2" fontId="3" fillId="0" borderId="0" xfId="0" applyNumberFormat="1" applyFont="1"/>
    <xf numFmtId="10" fontId="3" fillId="0" borderId="0" xfId="11" applyNumberFormat="1" applyFont="1" applyFill="1"/>
    <xf numFmtId="10" fontId="0" fillId="0" borderId="0" xfId="11" applyNumberFormat="1" applyFont="1"/>
  </cellXfs>
  <cellStyles count="12">
    <cellStyle name="Followed Hyperlink" xfId="10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9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  <cellStyle name="Percent" xfId="1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1</xdr:row>
      <xdr:rowOff>15875</xdr:rowOff>
    </xdr:from>
    <xdr:to>
      <xdr:col>15</xdr:col>
      <xdr:colOff>0</xdr:colOff>
      <xdr:row>11</xdr:row>
      <xdr:rowOff>139700</xdr:rowOff>
    </xdr:to>
    <xdr:sp macro="" textlink="">
      <xdr:nvSpPr>
        <xdr:cNvPr id="32" name="TextBox 3">
          <a:extLst>
            <a:ext uri="{FF2B5EF4-FFF2-40B4-BE49-F238E27FC236}">
              <a16:creationId xmlns:a16="http://schemas.microsoft.com/office/drawing/2014/main" id="{AF4FF337-3DB0-4949-8624-1C0F69E3C375}"/>
            </a:ext>
            <a:ext uri="{147F2762-F138-4A5C-976F-8EAC2B608ADB}">
              <a16:predDERef xmlns:a16="http://schemas.microsoft.com/office/drawing/2014/main" pred="{77162CF2-2263-420C-B1A4-9D35A5647DA6}"/>
            </a:ext>
          </a:extLst>
        </xdr:cNvPr>
        <xdr:cNvSpPr txBox="1"/>
      </xdr:nvSpPr>
      <xdr:spPr>
        <a:xfrm>
          <a:off x="7505700" y="215900"/>
          <a:ext cx="5314950" cy="2124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Data Analysis</a:t>
          </a:r>
          <a:r>
            <a:rPr lang="en-US" sz="1100" baseline="0"/>
            <a:t> Process:</a:t>
          </a:r>
        </a:p>
        <a:p>
          <a:r>
            <a:rPr lang="en-US" sz="1100" baseline="0"/>
            <a:t>1.Open each video in Tracker</a:t>
          </a:r>
        </a:p>
        <a:p>
          <a:r>
            <a:rPr lang="en-US" sz="1100" baseline="0"/>
            <a:t>2. Establish coordinate system at the base of the launch and use the stakes along the base to determine distances.</a:t>
          </a:r>
        </a:p>
        <a:p>
          <a:r>
            <a:rPr lang="en-US" sz="1100" baseline="0"/>
            <a:t>3. Find the frame at whcih the launcher is triggered, set that to t=0</a:t>
          </a:r>
        </a:p>
        <a:p>
          <a:r>
            <a:rPr lang="en-US" sz="1100" baseline="0"/>
            <a:t>4. Track the position of the ball to give position, velocity and acceleration data.</a:t>
          </a:r>
        </a:p>
        <a:p>
          <a:r>
            <a:rPr lang="en-US" sz="1100" baseline="0"/>
            <a:t>5. Find the frame with the maximum velocity at which point the ball has lost contact with the launcher to determine the launch position, and velocities.</a:t>
          </a:r>
        </a:p>
        <a:p>
          <a:r>
            <a:rPr lang="en-US" sz="1100" baseline="0"/>
            <a:t>6. Use launch data to predict the range based on simple projectile motion.</a:t>
          </a:r>
        </a:p>
      </xdr:txBody>
    </xdr:sp>
    <xdr:clientData/>
  </xdr:twoCellAnchor>
  <xdr:twoCellAnchor>
    <xdr:from>
      <xdr:col>0</xdr:col>
      <xdr:colOff>76199</xdr:colOff>
      <xdr:row>0</xdr:row>
      <xdr:rowOff>0</xdr:rowOff>
    </xdr:from>
    <xdr:to>
      <xdr:col>8</xdr:col>
      <xdr:colOff>504824</xdr:colOff>
      <xdr:row>16</xdr:row>
      <xdr:rowOff>38100</xdr:rowOff>
    </xdr:to>
    <xdr:sp macro="" textlink="">
      <xdr:nvSpPr>
        <xdr:cNvPr id="33" name="TextBox 3">
          <a:extLst>
            <a:ext uri="{FF2B5EF4-FFF2-40B4-BE49-F238E27FC236}">
              <a16:creationId xmlns:a16="http://schemas.microsoft.com/office/drawing/2014/main" id="{4676DD69-FD23-46BE-9AD6-8CEA8C2690BE}"/>
            </a:ext>
            <a:ext uri="{147F2762-F138-4A5C-976F-8EAC2B608ADB}">
              <a16:predDERef xmlns:a16="http://schemas.microsoft.com/office/drawing/2014/main" pred="{77162CF2-2263-420C-B1A4-9D35A5647DA6}"/>
            </a:ext>
          </a:extLst>
        </xdr:cNvPr>
        <xdr:cNvSpPr txBox="1"/>
      </xdr:nvSpPr>
      <xdr:spPr>
        <a:xfrm>
          <a:off x="76199" y="0"/>
          <a:ext cx="7343775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Key to Data Columns:</a:t>
          </a:r>
        </a:p>
        <a:p>
          <a:pPr indent="-457200">
            <a:spcAft>
              <a:spcPts val="600"/>
            </a:spcAft>
          </a:pPr>
          <a:r>
            <a:rPr lang="en-US" sz="1100" u="sng" baseline="0"/>
            <a:t>Trigger Frame</a:t>
          </a:r>
          <a:r>
            <a:rPr lang="en-US" sz="1100" baseline="0"/>
            <a:t>: the video frame when the trigger was pulled. This will be t=0.</a:t>
          </a:r>
        </a:p>
        <a:p>
          <a:pPr marL="457200" lvl="1" indent="-457200">
            <a:spcAft>
              <a:spcPts val="600"/>
            </a:spcAft>
          </a:pPr>
          <a:r>
            <a:rPr lang="en-US" sz="1100" u="sng" baseline="0"/>
            <a:t>Projectile Launch Frame</a:t>
          </a:r>
          <a:r>
            <a:rPr lang="en-US" sz="1100" baseline="0"/>
            <a:t>: the video frame in which the projectile achieved projectile motion and was no longer in contact with the launcher. This is where the initial projectile motion data is taken.</a:t>
          </a:r>
        </a:p>
        <a:p>
          <a:pPr marL="457200" lvl="1" indent="-457200">
            <a:spcAft>
              <a:spcPts val="600"/>
            </a:spcAft>
          </a:pPr>
          <a:r>
            <a:rPr lang="en-US" sz="1100" u="sng" baseline="0"/>
            <a:t>Projectile Launch Time:</a:t>
          </a:r>
          <a:r>
            <a:rPr lang="en-US" sz="1100" baseline="0"/>
            <a:t> the time at whcih the projectile motion began. This tells us how long the launcher interacted with the projectile.</a:t>
          </a:r>
        </a:p>
        <a:p>
          <a:pPr marL="457200" lvl="1" indent="-457200">
            <a:spcAft>
              <a:spcPts val="600"/>
            </a:spcAft>
          </a:pPr>
          <a:r>
            <a:rPr lang="en-US" sz="1100" u="sng" baseline="0"/>
            <a:t>x</a:t>
          </a:r>
          <a:r>
            <a:rPr lang="en-US" sz="1100" u="sng" baseline="-25000"/>
            <a:t>0</a:t>
          </a:r>
          <a:r>
            <a:rPr lang="en-US" sz="1100" u="sng" baseline="0"/>
            <a:t>(m)</a:t>
          </a:r>
          <a:r>
            <a:rPr lang="en-US" sz="1100" baseline="0"/>
            <a:t>, </a:t>
          </a:r>
          <a:r>
            <a:rPr lang="en-US" sz="1100" u="sng" baseline="0"/>
            <a:t>y</a:t>
          </a:r>
          <a:r>
            <a:rPr lang="en-US" sz="1100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Initial position for the projectile motion. Used to calculate predicted range.</a:t>
          </a:r>
        </a:p>
        <a:p>
          <a:pPr marL="457200" lvl="1" indent="-457200">
            <a:spcAft>
              <a:spcPts val="600"/>
            </a:spcAft>
          </a:pP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</a:t>
          </a:r>
          <a:r>
            <a:rPr lang="en-US" sz="1100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x0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(m/s)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</a:t>
          </a:r>
          <a:r>
            <a:rPr lang="en-US" sz="1100" u="sng" baseline="-25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y0</a:t>
          </a: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(m/s)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Components of the initial velocity for the projectile motion. Used to calculate the predicted range.</a:t>
          </a:r>
        </a:p>
        <a:p>
          <a:pPr marL="457200" lvl="1" indent="-457200">
            <a:spcAft>
              <a:spcPts val="600"/>
            </a:spcAft>
          </a:pP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Launch Angle (degrees)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angle of the initial velocity relative to the horizontal.</a:t>
          </a:r>
        </a:p>
        <a:p>
          <a:pPr marL="457200" lvl="1" indent="-457200">
            <a:spcAft>
              <a:spcPts val="600"/>
            </a:spcAft>
          </a:pP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Actual Range (m)</a:t>
          </a:r>
          <a:r>
            <a:rPr lang="en-US" sz="110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experimental range of the projectile measured in the field.</a:t>
          </a:r>
        </a:p>
        <a:p>
          <a:pPr marL="457200" lvl="1" indent="-457200">
            <a:spcAft>
              <a:spcPts val="600"/>
            </a:spcAft>
          </a:pP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Difference (m)</a:t>
          </a:r>
          <a:r>
            <a:rPr lang="en-US" sz="110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difference between the predicted range and the actual range. This will usually be a negative number due to air resistance.</a:t>
          </a:r>
        </a:p>
        <a:p>
          <a:pPr marL="457200" lvl="1" indent="-457200">
            <a:spcAft>
              <a:spcPts val="600"/>
            </a:spcAft>
          </a:pP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Average</a:t>
          </a:r>
          <a:r>
            <a:rPr lang="en-US" sz="110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average value for each column is collected below.</a:t>
          </a:r>
          <a:endParaRPr lang="en-US" sz="1100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457200" lvl="1" indent="-457200">
            <a:spcAft>
              <a:spcPts val="600"/>
            </a:spcAft>
          </a:pPr>
          <a:r>
            <a:rPr lang="en-US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Uncertainty</a:t>
          </a:r>
          <a:r>
            <a:rPr lang="en-US" sz="110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the calculated uncertainty in the data columns.</a:t>
          </a: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457200" lvl="1" indent="-457200"/>
          <a:endParaRPr lang="en-US" sz="1100" baseline="0"/>
        </a:p>
      </xdr:txBody>
    </xdr:sp>
    <xdr:clientData/>
  </xdr:twoCellAnchor>
  <xdr:twoCellAnchor>
    <xdr:from>
      <xdr:col>5</xdr:col>
      <xdr:colOff>619125</xdr:colOff>
      <xdr:row>39</xdr:row>
      <xdr:rowOff>66675</xdr:rowOff>
    </xdr:from>
    <xdr:to>
      <xdr:col>10</xdr:col>
      <xdr:colOff>847725</xdr:colOff>
      <xdr:row>45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E8D762-CD19-7C90-958B-09640B3DCB7C}"/>
            </a:ext>
          </a:extLst>
        </xdr:cNvPr>
        <xdr:cNvSpPr txBox="1"/>
      </xdr:nvSpPr>
      <xdr:spPr>
        <a:xfrm>
          <a:off x="5143500" y="13201650"/>
          <a:ext cx="4619625" cy="1266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From</a:t>
          </a:r>
          <a:r>
            <a:rPr lang="en-US" sz="1100" baseline="0"/>
            <a:t> Launch 4 to Launch 10 the results were very consistent, and relatively close ~17% of the predicted range. Because the baseball was moving faster, the effects of wind and air resistance would be greater for Team 2.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9:U39"/>
  <sheetViews>
    <sheetView tabSelected="1" topLeftCell="C20" zoomScale="67" zoomScaleNormal="67" workbookViewId="0">
      <selection activeCell="C20" sqref="C20:Z47"/>
    </sheetView>
  </sheetViews>
  <sheetFormatPr defaultColWidth="11" defaultRowHeight="15.6" x14ac:dyDescent="0.6"/>
  <cols>
    <col min="2" max="2" width="14" bestFit="1" customWidth="1"/>
    <col min="5" max="5" width="12.34765625" bestFit="1" customWidth="1"/>
    <col min="6" max="7" width="11.34765625" bestFit="1" customWidth="1"/>
    <col min="8" max="11" width="11.59765625" bestFit="1" customWidth="1"/>
    <col min="12" max="12" width="4" customWidth="1"/>
    <col min="13" max="13" width="9.59765625" customWidth="1"/>
    <col min="17" max="17" width="3.09765625" customWidth="1"/>
  </cols>
  <sheetData>
    <row r="19" spans="1:21" s="3" customFormat="1" ht="20.399999999999999" x14ac:dyDescent="0.7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1" customFormat="1" x14ac:dyDescent="0.6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2" spans="1:21" ht="20.399999999999999" x14ac:dyDescent="0.75">
      <c r="A22" s="3" t="s">
        <v>25</v>
      </c>
      <c r="B22" s="3"/>
      <c r="C22" s="3" t="s">
        <v>26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21" ht="46.8" x14ac:dyDescent="0.6">
      <c r="A23" s="1"/>
      <c r="B23" s="1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1"/>
      <c r="M23" s="2" t="s">
        <v>10</v>
      </c>
      <c r="N23" s="2" t="s">
        <v>11</v>
      </c>
      <c r="O23" s="2" t="s">
        <v>12</v>
      </c>
      <c r="P23" s="1" t="s">
        <v>13</v>
      </c>
      <c r="Q23" s="1"/>
      <c r="R23" s="1" t="s">
        <v>14</v>
      </c>
    </row>
    <row r="24" spans="1:21" x14ac:dyDescent="0.6">
      <c r="A24" t="s">
        <v>15</v>
      </c>
      <c r="B24" t="s">
        <v>27</v>
      </c>
      <c r="C24">
        <v>132</v>
      </c>
      <c r="D24">
        <v>140</v>
      </c>
      <c r="E24" s="4">
        <v>0.26666669999999998</v>
      </c>
      <c r="F24" s="4">
        <v>-1.6189199999999999</v>
      </c>
      <c r="G24" s="4">
        <v>2.0372870000000001</v>
      </c>
      <c r="H24" s="4">
        <v>4.4951980000000002</v>
      </c>
      <c r="I24" s="4">
        <v>17.498380000000001</v>
      </c>
      <c r="J24" s="4">
        <v>18.066549999999999</v>
      </c>
      <c r="K24" s="4">
        <v>75.592699999999994</v>
      </c>
      <c r="L24" s="4"/>
      <c r="M24" s="4">
        <v>11.2</v>
      </c>
      <c r="N24" s="4">
        <f>H24*(-I24-SQRT(I24^2+2*(9.8)*G24))/(-9.8)</f>
        <v>16.560122062575637</v>
      </c>
      <c r="O24" s="4">
        <f>N24-M24</f>
        <v>5.3601220625756376</v>
      </c>
      <c r="P24" s="7">
        <f>O24/N24</f>
        <v>0.32367648271681665</v>
      </c>
      <c r="Q24" s="7"/>
      <c r="R24" t="s">
        <v>28</v>
      </c>
    </row>
    <row r="25" spans="1:21" x14ac:dyDescent="0.6">
      <c r="A25" t="s">
        <v>16</v>
      </c>
      <c r="B25" t="s">
        <v>29</v>
      </c>
      <c r="C25">
        <v>630</v>
      </c>
      <c r="D25">
        <v>640</v>
      </c>
      <c r="E25" s="4">
        <v>0.3333333</v>
      </c>
      <c r="F25" s="4">
        <v>-1.316783</v>
      </c>
      <c r="G25" s="4">
        <v>2.156666</v>
      </c>
      <c r="H25" s="4">
        <v>11.35886</v>
      </c>
      <c r="I25" s="4">
        <v>13.123760000000001</v>
      </c>
      <c r="J25" s="4">
        <v>17.356750000000002</v>
      </c>
      <c r="K25" s="4">
        <v>49.123190000000001</v>
      </c>
      <c r="L25" s="4"/>
      <c r="M25" s="4">
        <v>14.85</v>
      </c>
      <c r="N25" s="4">
        <f>H25*(-I25-SQRT(I25^2+2*(9.8)*G25))/(-9.8)</f>
        <v>32.186959296560794</v>
      </c>
      <c r="O25" s="4">
        <f>N25-M25</f>
        <v>17.336959296560792</v>
      </c>
      <c r="P25" s="7">
        <f>O25/N25</f>
        <v>0.53863302640126254</v>
      </c>
      <c r="Q25" s="7"/>
      <c r="R25" t="s">
        <v>30</v>
      </c>
    </row>
    <row r="26" spans="1:21" x14ac:dyDescent="0.6">
      <c r="A26" t="s">
        <v>17</v>
      </c>
      <c r="B26" t="s">
        <v>31</v>
      </c>
      <c r="C26">
        <v>112</v>
      </c>
      <c r="D26">
        <v>121</v>
      </c>
      <c r="E26" s="4">
        <v>0.3</v>
      </c>
      <c r="F26" s="4">
        <v>-1.112743</v>
      </c>
      <c r="G26" s="4">
        <v>2.3604440000000002</v>
      </c>
      <c r="H26" s="4">
        <v>11.272349999999999</v>
      </c>
      <c r="I26" s="4">
        <v>11.66263</v>
      </c>
      <c r="J26" s="4">
        <v>16.219830000000002</v>
      </c>
      <c r="K26" s="4">
        <v>45.974879999999999</v>
      </c>
      <c r="L26" s="4"/>
      <c r="M26" s="4">
        <v>13.7</v>
      </c>
      <c r="N26" s="4">
        <f>H26*(-I26-SQRT(I26^2+2*(9.8)*G26))/(-9.8)</f>
        <v>28.944406287165375</v>
      </c>
      <c r="O26" s="4">
        <f t="shared" ref="O26:O30" si="0">N26-M26</f>
        <v>15.244406287165376</v>
      </c>
      <c r="P26" s="7">
        <f t="shared" ref="P26:P30" si="1">O26/N26</f>
        <v>0.52667883859566678</v>
      </c>
      <c r="Q26" s="7"/>
      <c r="R26" t="s">
        <v>30</v>
      </c>
    </row>
    <row r="27" spans="1:21" x14ac:dyDescent="0.6">
      <c r="A27" s="1" t="s">
        <v>18</v>
      </c>
      <c r="B27" s="1" t="s">
        <v>32</v>
      </c>
      <c r="C27" s="1">
        <v>136</v>
      </c>
      <c r="D27" s="1">
        <v>144</v>
      </c>
      <c r="E27" s="8">
        <v>0.26666669999999998</v>
      </c>
      <c r="F27" s="8">
        <v>-0.99071410000000004</v>
      </c>
      <c r="G27" s="8">
        <v>2.495177</v>
      </c>
      <c r="H27" s="8">
        <v>13.550850000000001</v>
      </c>
      <c r="I27" s="8">
        <v>12.907030000000001</v>
      </c>
      <c r="J27" s="8">
        <v>18.714079999999999</v>
      </c>
      <c r="K27" s="8">
        <v>43.606059999999999</v>
      </c>
      <c r="L27" s="8"/>
      <c r="M27" s="8">
        <v>32.25</v>
      </c>
      <c r="N27" s="8">
        <f t="shared" ref="N27:N28" si="2">H27*(-I27-SQRT(I27^2+2*(9.8)*G27))/(-9.8)</f>
        <v>38.145424854778774</v>
      </c>
      <c r="O27" s="8">
        <f t="shared" si="0"/>
        <v>5.8954248547787742</v>
      </c>
      <c r="P27" s="9">
        <f t="shared" si="1"/>
        <v>0.15455129618356336</v>
      </c>
      <c r="Q27" s="7"/>
      <c r="R27" t="s">
        <v>33</v>
      </c>
    </row>
    <row r="28" spans="1:21" x14ac:dyDescent="0.6">
      <c r="A28" s="1" t="s">
        <v>19</v>
      </c>
      <c r="B28" s="1" t="s">
        <v>34</v>
      </c>
      <c r="C28" s="1">
        <v>165</v>
      </c>
      <c r="D28" s="1">
        <v>172</v>
      </c>
      <c r="E28" s="8">
        <v>0.23333329999999999</v>
      </c>
      <c r="F28" s="8">
        <v>-1.4256629999999999</v>
      </c>
      <c r="G28" s="8">
        <v>2.0962559999999999</v>
      </c>
      <c r="H28" s="8">
        <v>10.11866</v>
      </c>
      <c r="I28" s="8">
        <v>16.69819</v>
      </c>
      <c r="J28" s="8">
        <v>19.52477</v>
      </c>
      <c r="K28" s="8">
        <v>58.785260000000001</v>
      </c>
      <c r="L28" s="8"/>
      <c r="M28" s="8">
        <v>28.75</v>
      </c>
      <c r="N28" s="8">
        <f t="shared" si="2"/>
        <v>35.708947792505249</v>
      </c>
      <c r="O28" s="8">
        <f t="shared" si="0"/>
        <v>6.9589477925052492</v>
      </c>
      <c r="P28" s="9">
        <f t="shared" si="1"/>
        <v>0.19487966525761993</v>
      </c>
      <c r="Q28" s="7"/>
    </row>
    <row r="29" spans="1:21" x14ac:dyDescent="0.6">
      <c r="A29" s="1" t="s">
        <v>20</v>
      </c>
      <c r="B29" s="1" t="s">
        <v>35</v>
      </c>
      <c r="C29" s="1">
        <v>245</v>
      </c>
      <c r="D29" s="1">
        <v>254</v>
      </c>
      <c r="E29" s="8">
        <v>0.3</v>
      </c>
      <c r="F29" s="8">
        <v>-0.9780643</v>
      </c>
      <c r="G29" s="8">
        <v>2.693308</v>
      </c>
      <c r="H29" s="8">
        <v>11.06832</v>
      </c>
      <c r="I29" s="8">
        <v>13.51886</v>
      </c>
      <c r="J29" s="8">
        <v>17.471900000000002</v>
      </c>
      <c r="K29" s="8">
        <v>50.691719999999997</v>
      </c>
      <c r="L29" s="8"/>
      <c r="M29" s="8">
        <v>28.25</v>
      </c>
      <c r="N29" s="8">
        <f>H29*(-I29-SQRT(I29^2+2*(9.8)*G29))/(-9.8)</f>
        <v>32.60235382963306</v>
      </c>
      <c r="O29" s="8">
        <f t="shared" si="0"/>
        <v>4.3523538296330599</v>
      </c>
      <c r="P29" s="9">
        <f t="shared" si="1"/>
        <v>0.13349814716988628</v>
      </c>
      <c r="Q29" s="7"/>
    </row>
    <row r="30" spans="1:21" x14ac:dyDescent="0.6">
      <c r="A30" s="1" t="s">
        <v>21</v>
      </c>
      <c r="B30" s="1" t="s">
        <v>36</v>
      </c>
      <c r="C30" s="1">
        <v>434</v>
      </c>
      <c r="D30" s="1">
        <v>443</v>
      </c>
      <c r="E30" s="8">
        <v>0.3</v>
      </c>
      <c r="F30" s="8">
        <v>-0.75136250000000004</v>
      </c>
      <c r="G30" s="8">
        <v>2.7571020000000002</v>
      </c>
      <c r="H30" s="8">
        <v>13.59206</v>
      </c>
      <c r="I30" s="8">
        <v>11.558820000000001</v>
      </c>
      <c r="J30" s="8">
        <v>17.842379999999999</v>
      </c>
      <c r="K30" s="8">
        <v>40.378169999999997</v>
      </c>
      <c r="L30" s="8"/>
      <c r="M30" s="8">
        <v>30.2</v>
      </c>
      <c r="N30" s="8">
        <f t="shared" ref="N30" si="3">H30*(-I30-SQRT(I30^2+2*(9.8)*G30))/(-9.8)</f>
        <v>35.030339835420193</v>
      </c>
      <c r="O30" s="8">
        <f t="shared" si="0"/>
        <v>4.8303398354201939</v>
      </c>
      <c r="P30" s="9">
        <f t="shared" si="1"/>
        <v>0.13789017914511059</v>
      </c>
      <c r="Q30" s="7"/>
    </row>
    <row r="31" spans="1:21" x14ac:dyDescent="0.6">
      <c r="A31" s="1" t="s">
        <v>22</v>
      </c>
      <c r="B31" s="1" t="s">
        <v>37</v>
      </c>
      <c r="C31" s="1">
        <v>239</v>
      </c>
      <c r="D31" s="1">
        <v>247</v>
      </c>
      <c r="E31" s="8">
        <v>0.26666669999999998</v>
      </c>
      <c r="F31" s="8">
        <v>-0.96290779999999998</v>
      </c>
      <c r="G31" s="8">
        <v>2.5101369999999998</v>
      </c>
      <c r="H31" s="8">
        <v>13.091570000000001</v>
      </c>
      <c r="I31" s="8">
        <v>11.377610000000001</v>
      </c>
      <c r="J31" s="8">
        <v>17.344719999999999</v>
      </c>
      <c r="K31" s="8">
        <v>40.993229999999997</v>
      </c>
      <c r="L31" s="8"/>
      <c r="M31" s="8">
        <v>27.2</v>
      </c>
      <c r="N31" s="8">
        <f t="shared" ref="N31:N32" si="4">H31*(-I31-SQRT(I31^2+2*(9.8)*G31))/(-9.8)</f>
        <v>33.054294344189863</v>
      </c>
      <c r="O31" s="8">
        <f t="shared" ref="O31:O32" si="5">N31-M31</f>
        <v>5.8542943441898636</v>
      </c>
      <c r="P31" s="9">
        <f t="shared" ref="P31:P32" si="6">O31/N31</f>
        <v>0.17711146041206913</v>
      </c>
      <c r="Q31" s="7"/>
    </row>
    <row r="32" spans="1:21" x14ac:dyDescent="0.6">
      <c r="A32" s="1" t="s">
        <v>23</v>
      </c>
      <c r="B32" s="1" t="s">
        <v>38</v>
      </c>
      <c r="C32" s="1">
        <v>261</v>
      </c>
      <c r="D32" s="1">
        <v>269</v>
      </c>
      <c r="E32" s="8">
        <v>0.26666669999999998</v>
      </c>
      <c r="F32" s="8">
        <v>-1.0576350000000001</v>
      </c>
      <c r="G32" s="8">
        <v>2.4232860000000001</v>
      </c>
      <c r="H32" s="8">
        <v>13.555809999999999</v>
      </c>
      <c r="I32" s="8">
        <v>12.237489999999999</v>
      </c>
      <c r="J32" s="8">
        <v>18.262419999999999</v>
      </c>
      <c r="K32" s="8">
        <v>42.074120000000001</v>
      </c>
      <c r="L32" s="8"/>
      <c r="M32" s="8">
        <v>28.05</v>
      </c>
      <c r="N32" s="8">
        <f t="shared" si="4"/>
        <v>36.35468127269985</v>
      </c>
      <c r="O32" s="8">
        <f t="shared" si="5"/>
        <v>8.3046812726998489</v>
      </c>
      <c r="P32" s="9">
        <f t="shared" si="6"/>
        <v>0.22843499054236402</v>
      </c>
      <c r="Q32" s="7"/>
    </row>
    <row r="33" spans="1:18" x14ac:dyDescent="0.6">
      <c r="A33" s="1" t="s">
        <v>24</v>
      </c>
      <c r="B33" s="1" t="s">
        <v>39</v>
      </c>
      <c r="C33" s="1">
        <v>213</v>
      </c>
      <c r="D33" s="1">
        <v>221</v>
      </c>
      <c r="E33" s="8">
        <v>0.26666669999999998</v>
      </c>
      <c r="F33" s="8">
        <v>-1.1812480000000001</v>
      </c>
      <c r="G33" s="8">
        <v>2.4351780000000001</v>
      </c>
      <c r="H33" s="8">
        <v>11.03919</v>
      </c>
      <c r="I33" s="8">
        <v>14.275790000000001</v>
      </c>
      <c r="J33" s="8">
        <v>18.046109999999999</v>
      </c>
      <c r="K33" s="8">
        <v>52.285910000000001</v>
      </c>
      <c r="L33" s="8"/>
      <c r="M33" s="8">
        <v>28.75</v>
      </c>
      <c r="N33" s="8">
        <f t="shared" ref="N33" si="7">H33*(-I33-SQRT(I33^2+2*(9.8)*G33))/(-9.8)</f>
        <v>33.945975439743009</v>
      </c>
      <c r="O33" s="8">
        <f t="shared" ref="O33" si="8">N33-M33</f>
        <v>5.1959754397430089</v>
      </c>
      <c r="P33" s="9">
        <f t="shared" ref="P33" si="9">O33/N33</f>
        <v>0.15306602247934536</v>
      </c>
      <c r="Q33" s="7"/>
    </row>
    <row r="34" spans="1:18" x14ac:dyDescent="0.6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8" x14ac:dyDescent="0.6">
      <c r="D35" s="6" t="s">
        <v>40</v>
      </c>
      <c r="E35" s="4">
        <f>AVERAGE(E27:E33)</f>
        <v>0.27142858571428574</v>
      </c>
      <c r="F35" s="4">
        <f t="shared" ref="F35:O35" si="10">AVERAGE(F27:F33)</f>
        <v>-1.0496563857142858</v>
      </c>
      <c r="G35" s="4">
        <f t="shared" si="10"/>
        <v>2.487206285714286</v>
      </c>
      <c r="H35" s="4">
        <f t="shared" si="10"/>
        <v>12.288065714285716</v>
      </c>
      <c r="I35" s="4">
        <f t="shared" si="10"/>
        <v>13.224827142857142</v>
      </c>
      <c r="J35" s="4">
        <f t="shared" si="10"/>
        <v>18.172339999999998</v>
      </c>
      <c r="K35" s="4">
        <f t="shared" si="10"/>
        <v>46.973495714285711</v>
      </c>
      <c r="L35" s="4"/>
      <c r="M35" s="4">
        <f t="shared" si="10"/>
        <v>29.064285714285717</v>
      </c>
      <c r="N35" s="4">
        <f t="shared" si="10"/>
        <v>34.977431052710003</v>
      </c>
      <c r="O35" s="4">
        <f t="shared" si="10"/>
        <v>5.913145338424286</v>
      </c>
      <c r="P35" s="10">
        <f t="shared" ref="P35" si="11">AVERAGE(P27:P33)</f>
        <v>0.16849025159856554</v>
      </c>
    </row>
    <row r="36" spans="1:18" x14ac:dyDescent="0.6">
      <c r="D36" s="5" t="s">
        <v>41</v>
      </c>
      <c r="E36" s="4">
        <f>STDEV(E27:E33)/SQRT(COUNT(E27:E33))</f>
        <v>8.6940105880955985E-3</v>
      </c>
      <c r="F36" s="4">
        <f t="shared" ref="F36:O36" si="12">STDEV(F27:F33)/SQRT(COUNT(F27:F33))</f>
        <v>7.9262247721596693E-2</v>
      </c>
      <c r="G36" s="4">
        <f t="shared" si="12"/>
        <v>8.0997624084118119E-2</v>
      </c>
      <c r="H36" s="4">
        <f t="shared" si="12"/>
        <v>0.56276551978707923</v>
      </c>
      <c r="I36" s="4">
        <f t="shared" si="12"/>
        <v>0.69895923336641286</v>
      </c>
      <c r="J36" s="4">
        <f t="shared" si="12"/>
        <v>0.28581721645801805</v>
      </c>
      <c r="K36" s="4">
        <f t="shared" si="12"/>
        <v>2.6554979709390127</v>
      </c>
      <c r="L36" s="4"/>
      <c r="M36" s="4">
        <f t="shared" si="12"/>
        <v>0.63252275375167755</v>
      </c>
      <c r="N36" s="4">
        <f t="shared" si="12"/>
        <v>0.73798738979829215</v>
      </c>
      <c r="O36" s="4">
        <f t="shared" si="12"/>
        <v>0.51036389696776707</v>
      </c>
      <c r="P36" s="10">
        <f t="shared" ref="P36" si="13">STDEV(P27:P33)/SQRT(COUNT(P27:P33))</f>
        <v>1.2870334337429182E-2</v>
      </c>
    </row>
    <row r="39" spans="1:18" x14ac:dyDescent="0.6">
      <c r="A39" t="s">
        <v>42</v>
      </c>
      <c r="B39" s="1" t="s">
        <v>43</v>
      </c>
      <c r="C39">
        <v>554</v>
      </c>
      <c r="D39">
        <v>561</v>
      </c>
      <c r="E39" s="4">
        <v>0.23333329999999999</v>
      </c>
      <c r="F39" s="4">
        <v>-1.1404939999999999</v>
      </c>
      <c r="G39" s="4">
        <v>2.513852</v>
      </c>
      <c r="H39" s="4">
        <v>13.31021</v>
      </c>
      <c r="I39" s="4">
        <v>17.493780000000001</v>
      </c>
      <c r="J39" s="4">
        <v>21.981680000000001</v>
      </c>
      <c r="K39" s="4">
        <v>52.734169999999999</v>
      </c>
      <c r="L39" s="4"/>
      <c r="M39" s="4">
        <v>40.6</v>
      </c>
      <c r="N39" s="4">
        <f>H39*(-I39-SQRT(I39^2+2*(9.8)*G39))/(-9.8)</f>
        <v>49.360893381367909</v>
      </c>
      <c r="O39" s="4">
        <f t="shared" ref="O39" si="14">N39-M39</f>
        <v>8.7608933813679073</v>
      </c>
      <c r="P39" s="7">
        <f t="shared" ref="P39" si="15">O39/N39</f>
        <v>0.17748652386982228</v>
      </c>
      <c r="Q39" s="7"/>
      <c r="R39" t="s">
        <v>44</v>
      </c>
    </row>
  </sheetData>
  <phoneticPr fontId="5" type="noConversion"/>
  <pageMargins left="0.25" right="0.25" top="0.75" bottom="0.75" header="0.3" footer="0.3"/>
  <pageSetup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Clancy Crawford</cp:lastModifiedBy>
  <cp:revision/>
  <cp:lastPrinted>2025-11-18T20:58:16Z</cp:lastPrinted>
  <dcterms:created xsi:type="dcterms:W3CDTF">2017-05-16T19:29:37Z</dcterms:created>
  <dcterms:modified xsi:type="dcterms:W3CDTF">2025-11-18T20:58:42Z</dcterms:modified>
  <cp:category/>
  <cp:contentStatus/>
</cp:coreProperties>
</file>